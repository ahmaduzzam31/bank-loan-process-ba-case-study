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_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€#,##0;(€#,##0);&quot;-&quot;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2514E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3" fontId="5" fillId="0" borderId="1" pivotButton="0" quotePrefix="0" xfId="0"/>
    <xf numFmtId="0" fontId="4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9" fontId="3" fillId="2" borderId="1" pivotButton="0" quotePrefix="0" xfId="0"/>
    <xf numFmtId="0" fontId="5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6" fillId="4" borderId="1" pivotButton="0" quotePrefix="0" xfId="0"/>
    <xf numFmtId="165" fontId="6" fillId="0" borderId="1" pivotButton="0" quotePrefix="0" xfId="0"/>
    <xf numFmtId="166" fontId="6" fillId="0" borderId="1" pivotButton="0" quotePrefix="0" xfId="0"/>
    <xf numFmtId="3" fontId="6" fillId="0" borderId="1" pivotButton="0" quotePrefix="0" xfId="0"/>
    <xf numFmtId="1" fontId="6" fillId="0" borderId="1" pivotButton="0" quotePrefix="0" xfId="0"/>
    <xf numFmtId="164" fontId="6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1">
    <dxf>
      <font>
        <name val="Arial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by option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'Summary'!$A$5:$A$7</f>
            </numRef>
          </cat>
          <val>
            <numRef>
              <f>'Summary'!$B$5:$B$7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€#,##0,,&quot;M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Options Appraisal Summary</t>
        </is>
      </c>
    </row>
    <row r="2">
      <c r="A2" s="2" t="inlineStr">
        <is>
          <t>5-year view. NPV at the Inputs discount rate. All values are formulas.</t>
        </is>
      </c>
    </row>
    <row r="4">
      <c r="A4" s="3" t="inlineStr">
        <is>
          <t>Option</t>
        </is>
      </c>
      <c r="B4" s="3" t="inlineStr">
        <is>
          <t>NPV (€)</t>
        </is>
      </c>
      <c r="C4" s="3" t="inlineStr">
        <is>
          <t>IRR</t>
        </is>
      </c>
      <c r="D4" s="3" t="inlineStr">
        <is>
          <t>Payback (years)</t>
        </is>
      </c>
      <c r="E4" s="3" t="inlineStr">
        <is>
          <t>Year 0 investment (€)</t>
        </is>
      </c>
      <c r="F4" s="3" t="inlineStr">
        <is>
          <t>5-yr benefits (€)</t>
        </is>
      </c>
      <c r="G4" s="3" t="inlineStr">
        <is>
          <t>5-yr costs (€)</t>
        </is>
      </c>
      <c r="H4" s="3" t="inlineStr">
        <is>
          <t>Extra loans / yr</t>
        </is>
      </c>
    </row>
    <row r="5">
      <c r="A5" s="4" t="inlineStr">
        <is>
          <t>A. Do nothing</t>
        </is>
      </c>
      <c r="B5" s="5">
        <f>Cash_Flows!B10+NPV(Inputs!$B$6,Cash_Flows!C10:G10)</f>
        <v/>
      </c>
      <c r="C5" s="6">
        <f>IF(Cash_Flows!H10=0,"n/a",IFERROR(IRR(Cash_Flows!B10:G10),"n/a"))</f>
        <v/>
      </c>
      <c r="D5" s="7">
        <f>IF(Cash_Flows!H10=0,"n/a",IFERROR(IF(Cash_Flows!B11&gt;=0,0,MATCH(TRUE,INDEX(Cash_Flows!B11:G11&gt;=0,0),0)-2-INDEX(Cash_Flows!B11:G11,MATCH(TRUE,INDEX(Cash_Flows!B11:G11&gt;=0,0),0)-1)/INDEX(Cash_Flows!B10:G10,MATCH(TRUE,INDEX(Cash_Flows!B11:G11&gt;=0,0),0))),"&gt; 5 years"))</f>
        <v/>
      </c>
      <c r="E5" s="5">
        <f>-Cash_Flows!B10</f>
        <v/>
      </c>
      <c r="F5" s="5">
        <f>Cash_Flows!H5+Cash_Flows!H6+Cash_Flows!H7</f>
        <v/>
      </c>
      <c r="G5" s="5">
        <f>-(Cash_Flows!H8+Cash_Flows!H9)</f>
        <v/>
      </c>
      <c r="H5" s="8">
        <f>Inputs!$B$14*Inputs!$B$10</f>
        <v/>
      </c>
    </row>
    <row r="6">
      <c r="A6" s="4" t="inlineStr">
        <is>
          <t>B. Quick wins</t>
        </is>
      </c>
      <c r="B6" s="5">
        <f>Cash_Flows!B20+NPV(Inputs!$B$6,Cash_Flows!C20:G20)</f>
        <v/>
      </c>
      <c r="C6" s="6">
        <f>IF(Cash_Flows!H20=0,"n/a",IFERROR(IRR(Cash_Flows!B20:G20),"n/a"))</f>
        <v/>
      </c>
      <c r="D6" s="7">
        <f>IF(Cash_Flows!H20=0,"n/a",IFERROR(IF(Cash_Flows!B21&gt;=0,0,MATCH(TRUE,INDEX(Cash_Flows!B21:G21&gt;=0,0),0)-2-INDEX(Cash_Flows!B21:G21,MATCH(TRUE,INDEX(Cash_Flows!B21:G21&gt;=0,0),0)-1)/INDEX(Cash_Flows!B20:G20,MATCH(TRUE,INDEX(Cash_Flows!B21:G21&gt;=0,0),0))),"&gt; 5 years"))</f>
        <v/>
      </c>
      <c r="E6" s="5">
        <f>-Cash_Flows!B20</f>
        <v/>
      </c>
      <c r="F6" s="5">
        <f>Cash_Flows!H15+Cash_Flows!H16+Cash_Flows!H17</f>
        <v/>
      </c>
      <c r="G6" s="5">
        <f>-(Cash_Flows!H18+Cash_Flows!H19)</f>
        <v/>
      </c>
      <c r="H6" s="8">
        <f>Inputs!$C$14*Inputs!$B$10</f>
        <v/>
      </c>
    </row>
    <row r="7">
      <c r="A7" s="4" t="inlineStr">
        <is>
          <t>C. Digital + quick wins</t>
        </is>
      </c>
      <c r="B7" s="5">
        <f>Cash_Flows!B30+NPV(Inputs!$B$6,Cash_Flows!C30:G30)</f>
        <v/>
      </c>
      <c r="C7" s="6">
        <f>IF(Cash_Flows!H30=0,"n/a",IFERROR(IRR(Cash_Flows!B30:G30),"n/a"))</f>
        <v/>
      </c>
      <c r="D7" s="7">
        <f>IF(Cash_Flows!H30=0,"n/a",IFERROR(IF(Cash_Flows!B31&gt;=0,0,MATCH(TRUE,INDEX(Cash_Flows!B31:G31&gt;=0,0),0)-2-INDEX(Cash_Flows!B31:G31,MATCH(TRUE,INDEX(Cash_Flows!B31:G31&gt;=0,0),0)-1)/INDEX(Cash_Flows!B30:G30,MATCH(TRUE,INDEX(Cash_Flows!B31:G31&gt;=0,0),0))),"&gt; 5 years"))</f>
        <v/>
      </c>
      <c r="E7" s="5">
        <f>-Cash_Flows!B30</f>
        <v/>
      </c>
      <c r="F7" s="5">
        <f>Cash_Flows!H25+Cash_Flows!H26+Cash_Flows!H27</f>
        <v/>
      </c>
      <c r="G7" s="5">
        <f>-(Cash_Flows!H28+Cash_Flows!H29)</f>
        <v/>
      </c>
      <c r="H7" s="8">
        <f>Inputs!$D$14*Inputs!$B$10</f>
        <v/>
      </c>
    </row>
    <row r="9">
      <c r="A9" s="9" t="inlineStr">
        <is>
          <t>Recommended option (highest NPV)</t>
        </is>
      </c>
      <c r="B9" s="10">
        <f>INDEX(A5:A7,MATCH(MAX(B5:B7),B5:B7,0))</f>
        <v/>
      </c>
    </row>
    <row r="10">
      <c r="A10" s="2" t="inlineStr">
        <is>
          <t>Recommendation: approve Option B now (fast payback, low risk) and Option C as phase 2, funded from Option B's benefits, if the NPV holds at the sensitivity below.</t>
        </is>
      </c>
    </row>
    <row r="13">
      <c r="A13" s="9" t="inlineStr">
        <is>
          <t>Sensitivity: NPV (€) by benefit realisation factor</t>
        </is>
      </c>
    </row>
    <row r="14">
      <c r="A14" s="11" t="inlineStr">
        <is>
          <t>Option</t>
        </is>
      </c>
      <c r="B14" s="12" t="n">
        <v>0.25</v>
      </c>
      <c r="C14" s="12" t="n">
        <v>0.5</v>
      </c>
      <c r="D14" s="12" t="n">
        <v>0.75</v>
      </c>
      <c r="E14" s="12" t="n">
        <v>1</v>
      </c>
    </row>
    <row r="15">
      <c r="A15" s="13" t="inlineStr">
        <is>
          <t>B. Quick wins</t>
        </is>
      </c>
      <c r="B15" s="5">
        <f>B6+(Cash_Flows!B15+NPV(Inputs!$B$6,Cash_Flows!C15:G15))*(B$14/Inputs!$B$10-1)</f>
        <v/>
      </c>
      <c r="C15" s="5">
        <f>B6+(Cash_Flows!B15+NPV(Inputs!$B$6,Cash_Flows!C15:G15))*(C$14/Inputs!$B$10-1)</f>
        <v/>
      </c>
      <c r="D15" s="5">
        <f>B6+(Cash_Flows!B15+NPV(Inputs!$B$6,Cash_Flows!C15:G15))*(D$14/Inputs!$B$10-1)</f>
        <v/>
      </c>
      <c r="E15" s="5">
        <f>B6+(Cash_Flows!B15+NPV(Inputs!$B$6,Cash_Flows!C15:G15))*(E$14/Inputs!$B$10-1)</f>
        <v/>
      </c>
    </row>
    <row r="16">
      <c r="A16" s="13" t="inlineStr">
        <is>
          <t>C. Digital + quick wins</t>
        </is>
      </c>
      <c r="B16" s="5">
        <f>B7+(Cash_Flows!B25+NPV(Inputs!$B$6,Cash_Flows!C25:G25))*(B$14/Inputs!$B$10-1)</f>
        <v/>
      </c>
      <c r="C16" s="5">
        <f>B7+(Cash_Flows!B25+NPV(Inputs!$B$6,Cash_Flows!C25:G25))*(C$14/Inputs!$B$10-1)</f>
        <v/>
      </c>
      <c r="D16" s="5">
        <f>B7+(Cash_Flows!B25+NPV(Inputs!$B$6,Cash_Flows!C25:G25))*(D$14/Inputs!$B$10-1)</f>
        <v/>
      </c>
      <c r="E16" s="5">
        <f>B7+(Cash_Flows!B25+NPV(Inputs!$B$6,Cash_Flows!C25:G25))*(E$14/Inputs!$B$10-1)</f>
        <v/>
      </c>
    </row>
  </sheetData>
  <conditionalFormatting sqref="B15:E16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Business Case Inputs: SME Loan Origination Redesign</t>
        </is>
      </c>
    </row>
    <row r="2">
      <c r="A2" s="2" t="inlineStr">
        <is>
          <t>Harbour Bank Ireland (fictional). Blue = input; yellow = key assumption. Source column documents every number.</t>
        </is>
      </c>
    </row>
    <row r="4">
      <c r="A4" s="3" t="inlineStr">
        <is>
          <t>Input</t>
        </is>
      </c>
      <c r="B4" s="3" t="inlineStr">
        <is>
          <t>A. Do nothing</t>
        </is>
      </c>
      <c r="C4" s="3" t="inlineStr">
        <is>
          <t>B. Quick wins</t>
        </is>
      </c>
      <c r="D4" s="3" t="inlineStr">
        <is>
          <t>C. Digital + quick wins</t>
        </is>
      </c>
      <c r="E4" s="3" t="inlineStr">
        <is>
          <t>Source / rationale</t>
        </is>
      </c>
    </row>
    <row r="5">
      <c r="A5" s="14" t="inlineStr">
        <is>
          <t>GENERAL</t>
        </is>
      </c>
      <c r="B5" s="15" t="n"/>
      <c r="C5" s="15" t="n"/>
      <c r="D5" s="15" t="n"/>
      <c r="E5" s="15" t="n"/>
    </row>
    <row r="6">
      <c r="A6" s="13" t="inlineStr">
        <is>
          <t>Discount rate (annual)</t>
        </is>
      </c>
      <c r="B6" s="16" t="n">
        <v>0.08</v>
      </c>
      <c r="E6" s="2" t="inlineStr">
        <is>
          <t>Bank hurdle rate for change projects (assumption).</t>
        </is>
      </c>
    </row>
    <row r="7">
      <c r="A7" s="13" t="inlineStr">
        <is>
          <t>Average funded loan (€)</t>
        </is>
      </c>
      <c r="B7" s="17" t="n">
        <v>91208</v>
      </c>
      <c r="E7" s="2" t="inlineStr">
        <is>
          <t>Process analysis: mean amount of funded applications.</t>
        </is>
      </c>
    </row>
    <row r="8">
      <c r="A8" s="13" t="inlineStr">
        <is>
          <t>Net margin per year on a funded loan</t>
        </is>
      </c>
      <c r="B8" s="16" t="n">
        <v>0.018</v>
      </c>
      <c r="E8" s="2" t="inlineStr">
        <is>
          <t>After funding cost, expected credit loss and servicing (assumption).</t>
        </is>
      </c>
    </row>
    <row r="9">
      <c r="A9" s="13" t="inlineStr">
        <is>
          <t>Average loan life (years)</t>
        </is>
      </c>
      <c r="B9" s="18" t="n">
        <v>3</v>
      </c>
      <c r="E9" s="2" t="inlineStr">
        <is>
          <t>SME term loans 1 to 7 years; average outstanding life (assumption).</t>
        </is>
      </c>
    </row>
    <row r="10">
      <c r="A10" s="13" t="inlineStr">
        <is>
          <t>Benefit realisation factor</t>
        </is>
      </c>
      <c r="B10" s="16" t="n">
        <v>0.5</v>
      </c>
      <c r="E10" s="2" t="inlineStr">
        <is>
          <t>Only half of the modelled extra loans are counted, for prudence.</t>
        </is>
      </c>
    </row>
    <row r="11">
      <c r="A11" s="13" t="inlineStr">
        <is>
          <t>Underwriter cost per hour (€)</t>
        </is>
      </c>
      <c r="B11" s="17" t="n">
        <v>55</v>
      </c>
      <c r="E11" s="2" t="inlineStr">
        <is>
          <t>Fully loaded cost (assumption).</t>
        </is>
      </c>
    </row>
    <row r="12">
      <c r="A12" s="13" t="inlineStr">
        <is>
          <t>Relationship manager cost per hour (€)</t>
        </is>
      </c>
      <c r="B12" s="17" t="n">
        <v>45</v>
      </c>
      <c r="E12" s="2" t="inlineStr">
        <is>
          <t>Fully loaded cost (assumption).</t>
        </is>
      </c>
    </row>
    <row r="13">
      <c r="A13" s="14" t="inlineStr">
        <is>
          <t>VOLUMES (per year)</t>
        </is>
      </c>
      <c r="B13" s="15" t="n"/>
      <c r="C13" s="15" t="n"/>
      <c r="D13" s="15" t="n"/>
      <c r="E13" s="15" t="n"/>
    </row>
    <row r="14">
      <c r="A14" s="13" t="inlineStr">
        <is>
          <t>Extra funded loans vs today (modelled)</t>
        </is>
      </c>
      <c r="B14" s="19" t="n">
        <v>0</v>
      </c>
      <c r="C14" s="19" t="n">
        <v>455</v>
      </c>
      <c r="D14" s="19" t="n">
        <v>685</v>
      </c>
      <c r="E14" s="2" t="inlineStr">
        <is>
          <t>Process analysis notebook, section 5: fewer withdrawals from faster decisions and complete applications.</t>
        </is>
      </c>
    </row>
    <row r="15">
      <c r="A15" s="13" t="inlineStr">
        <is>
          <t>Credit assessments</t>
        </is>
      </c>
      <c r="B15" s="19" t="n">
        <v>5642</v>
      </c>
      <c r="C15" s="19" t="n">
        <v>5642</v>
      </c>
      <c r="D15" s="19" t="n">
        <v>5642</v>
      </c>
      <c r="E15" s="2" t="inlineStr">
        <is>
          <t>Event log, last 12 months.</t>
        </is>
      </c>
    </row>
    <row r="16">
      <c r="A16" s="13" t="inlineStr">
        <is>
          <t>Document requests (today)</t>
        </is>
      </c>
      <c r="B16" s="19" t="n">
        <v>3883</v>
      </c>
      <c r="C16" s="19" t="n">
        <v>3883</v>
      </c>
      <c r="D16" s="19" t="n">
        <v>3883</v>
      </c>
      <c r="E16" s="2" t="inlineStr">
        <is>
          <t>Event log, last 12 months.</t>
        </is>
      </c>
    </row>
    <row r="17">
      <c r="A17" s="14" t="inlineStr">
        <is>
          <t>EFFICIENCY</t>
        </is>
      </c>
      <c r="B17" s="15" t="n"/>
      <c r="C17" s="15" t="n"/>
      <c r="D17" s="15" t="n"/>
      <c r="E17" s="15" t="n"/>
    </row>
    <row r="18">
      <c r="A18" s="13" t="inlineStr">
        <is>
          <t>Minutes re-keying financials per assessment</t>
        </is>
      </c>
      <c r="B18" s="20" t="n">
        <v>45</v>
      </c>
      <c r="C18" s="20" t="n">
        <v>45</v>
      </c>
      <c r="D18" s="20" t="n">
        <v>45</v>
      </c>
      <c r="E18" s="2" t="inlineStr">
        <is>
          <t>Time study with underwriters (workshop estimate).</t>
        </is>
      </c>
    </row>
    <row r="19">
      <c r="A19" s="13" t="inlineStr">
        <is>
          <t>Reduction in re-keying</t>
        </is>
      </c>
      <c r="B19" s="21" t="n">
        <v>0</v>
      </c>
      <c r="C19" s="21" t="n">
        <v>0</v>
      </c>
      <c r="D19" s="21" t="n">
        <v>0.8</v>
      </c>
      <c r="E19" s="2" t="inlineStr">
        <is>
          <t>C: open banking / accounting-software data feed replaces manual spreading.</t>
        </is>
      </c>
    </row>
    <row r="20">
      <c r="A20" s="13" t="inlineStr">
        <is>
          <t>Minutes of RM time per document request</t>
        </is>
      </c>
      <c r="B20" s="20" t="n">
        <v>40</v>
      </c>
      <c r="C20" s="20" t="n">
        <v>40</v>
      </c>
      <c r="D20" s="20" t="n">
        <v>40</v>
      </c>
      <c r="E20" s="2" t="inlineStr">
        <is>
          <t>RM workshop estimate (call, email, chase, check).</t>
        </is>
      </c>
    </row>
    <row r="21">
      <c r="A21" s="13" t="inlineStr">
        <is>
          <t>Reduction in document requests</t>
        </is>
      </c>
      <c r="B21" s="21" t="n">
        <v>0</v>
      </c>
      <c r="C21" s="21" t="n">
        <v>0.5</v>
      </c>
      <c r="D21" s="21" t="n">
        <v>0.8</v>
      </c>
      <c r="E21" s="2" t="inlineStr">
        <is>
          <t>B: digital checklist &amp; upload. C: plus pre-filled data via open banking.</t>
        </is>
      </c>
    </row>
    <row r="22">
      <c r="A22" s="14" t="inlineStr">
        <is>
          <t>COSTS (€)</t>
        </is>
      </c>
      <c r="B22" s="15" t="n"/>
      <c r="C22" s="15" t="n"/>
      <c r="D22" s="15" t="n"/>
      <c r="E22" s="15" t="n"/>
    </row>
    <row r="23">
      <c r="A23" s="13" t="inlineStr">
        <is>
          <t>One-off cost: year 0</t>
        </is>
      </c>
      <c r="B23" s="17" t="n">
        <v>0</v>
      </c>
      <c r="C23" s="17" t="n">
        <v>450000</v>
      </c>
      <c r="D23" s="17" t="n">
        <v>1500000</v>
      </c>
      <c r="E23" s="2" t="inlineStr">
        <is>
          <t>B: policy change, checklist, portal config, training. C: adds platform build.</t>
        </is>
      </c>
    </row>
    <row r="24">
      <c r="A24" s="13" t="inlineStr">
        <is>
          <t>One-off cost: year 1</t>
        </is>
      </c>
      <c r="B24" s="17" t="n">
        <v>0</v>
      </c>
      <c r="C24" s="17" t="n">
        <v>0</v>
      </c>
      <c r="D24" s="17" t="n">
        <v>900000</v>
      </c>
      <c r="E24" s="2" t="inlineStr">
        <is>
          <t>C: integration and migration in year 1.</t>
        </is>
      </c>
    </row>
    <row r="25">
      <c r="A25" s="13" t="inlineStr">
        <is>
          <t>Annual run cost (from year 1)</t>
        </is>
      </c>
      <c r="B25" s="17" t="n">
        <v>0</v>
      </c>
      <c r="C25" s="17" t="n">
        <v>120000</v>
      </c>
      <c r="D25" s="17" t="n">
        <v>380000</v>
      </c>
      <c r="E25" s="2" t="inlineStr">
        <is>
          <t>Licences, support, credit forum time.</t>
        </is>
      </c>
    </row>
    <row r="26">
      <c r="A26" s="14" t="inlineStr">
        <is>
          <t>RAMP-UP of benefits</t>
        </is>
      </c>
      <c r="B26" s="15" t="n"/>
      <c r="C26" s="15" t="n"/>
      <c r="D26" s="15" t="n"/>
      <c r="E26" s="15" t="n"/>
    </row>
    <row r="27">
      <c r="A27" s="13" t="inlineStr">
        <is>
          <t>Year 1</t>
        </is>
      </c>
      <c r="B27" s="21" t="n">
        <v>0</v>
      </c>
      <c r="C27" s="21" t="n">
        <v>0.5</v>
      </c>
      <c r="D27" s="21" t="n">
        <v>0.25</v>
      </c>
      <c r="E27" s="2" t="inlineStr">
        <is>
          <t>Share of full benefit achieved.</t>
        </is>
      </c>
    </row>
    <row r="28">
      <c r="A28" s="13" t="inlineStr">
        <is>
          <t>Year 2</t>
        </is>
      </c>
      <c r="B28" s="21" t="n">
        <v>0</v>
      </c>
      <c r="C28" s="21" t="n">
        <v>1</v>
      </c>
      <c r="D28" s="21" t="n">
        <v>0.75</v>
      </c>
      <c r="E28" s="2" t="inlineStr"/>
    </row>
    <row r="29">
      <c r="A29" s="13" t="inlineStr">
        <is>
          <t>Year 3</t>
        </is>
      </c>
      <c r="B29" s="21" t="n">
        <v>0</v>
      </c>
      <c r="C29" s="21" t="n">
        <v>1</v>
      </c>
      <c r="D29" s="21" t="n">
        <v>1</v>
      </c>
      <c r="E29" s="2" t="inlineStr"/>
    </row>
    <row r="30">
      <c r="A30" s="13" t="inlineStr">
        <is>
          <t>Year 4</t>
        </is>
      </c>
      <c r="B30" s="21" t="n">
        <v>0</v>
      </c>
      <c r="C30" s="21" t="n">
        <v>1</v>
      </c>
      <c r="D30" s="21" t="n">
        <v>1</v>
      </c>
      <c r="E30" s="2" t="inlineStr"/>
    </row>
    <row r="31">
      <c r="A31" s="13" t="inlineStr">
        <is>
          <t>Year 5</t>
        </is>
      </c>
      <c r="B31" s="21" t="n">
        <v>0</v>
      </c>
      <c r="C31" s="21" t="n">
        <v>1</v>
      </c>
      <c r="D31" s="21" t="n">
        <v>1</v>
      </c>
      <c r="E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Five-Year Cash Flows by Option (€)</t>
        </is>
      </c>
    </row>
    <row r="2">
      <c r="A2" s="2" t="inlineStr">
        <is>
          <t>All cells are formulas on the Inputs sheet.</t>
        </is>
      </c>
    </row>
    <row r="4">
      <c r="A4" s="9" t="inlineStr">
        <is>
          <t>A. Do nothing</t>
        </is>
      </c>
      <c r="B4" s="11" t="inlineStr">
        <is>
          <t>Year 0</t>
        </is>
      </c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  <c r="H4" s="11" t="inlineStr">
        <is>
          <t>Total</t>
        </is>
      </c>
    </row>
    <row r="5">
      <c r="A5" s="13" t="inlineStr">
        <is>
          <t>Revenue benefit: extra loans funded</t>
        </is>
      </c>
      <c r="B5" s="5">
        <f>0</f>
        <v/>
      </c>
      <c r="C5" s="5">
        <f>Inputs!$B$14*Inputs!$B$10*Inputs!$B$27*Inputs!$B$7*Inputs!$B$8*Inputs!$B$9</f>
        <v/>
      </c>
      <c r="D5" s="5">
        <f>Inputs!$B$14*Inputs!$B$10*Inputs!$B$28*Inputs!$B$7*Inputs!$B$8*Inputs!$B$9</f>
        <v/>
      </c>
      <c r="E5" s="5">
        <f>Inputs!$B$14*Inputs!$B$10*Inputs!$B$29*Inputs!$B$7*Inputs!$B$8*Inputs!$B$9</f>
        <v/>
      </c>
      <c r="F5" s="5">
        <f>Inputs!$B$14*Inputs!$B$10*Inputs!$B$30*Inputs!$B$7*Inputs!$B$8*Inputs!$B$9</f>
        <v/>
      </c>
      <c r="G5" s="5">
        <f>Inputs!$B$14*Inputs!$B$10*Inputs!$B$31*Inputs!$B$7*Inputs!$B$8*Inputs!$B$9</f>
        <v/>
      </c>
      <c r="H5" s="22">
        <f>SUM(B5:G5)</f>
        <v/>
      </c>
    </row>
    <row r="6">
      <c r="A6" s="13" t="inlineStr">
        <is>
          <t>Efficiency: underwriter re-keying saved</t>
        </is>
      </c>
      <c r="B6" s="5">
        <f>0</f>
        <v/>
      </c>
      <c r="C6" s="5">
        <f>Inputs!$B$15*Inputs!$B$18/60*Inputs!$B$19*Inputs!$B$11*Inputs!$B$27</f>
        <v/>
      </c>
      <c r="D6" s="5">
        <f>Inputs!$B$15*Inputs!$B$18/60*Inputs!$B$19*Inputs!$B$11*Inputs!$B$28</f>
        <v/>
      </c>
      <c r="E6" s="5">
        <f>Inputs!$B$15*Inputs!$B$18/60*Inputs!$B$19*Inputs!$B$11*Inputs!$B$29</f>
        <v/>
      </c>
      <c r="F6" s="5">
        <f>Inputs!$B$15*Inputs!$B$18/60*Inputs!$B$19*Inputs!$B$11*Inputs!$B$30</f>
        <v/>
      </c>
      <c r="G6" s="5">
        <f>Inputs!$B$15*Inputs!$B$18/60*Inputs!$B$19*Inputs!$B$11*Inputs!$B$31</f>
        <v/>
      </c>
      <c r="H6" s="22">
        <f>SUM(B6:G6)</f>
        <v/>
      </c>
    </row>
    <row r="7">
      <c r="A7" s="13" t="inlineStr">
        <is>
          <t>Efficiency: RM document chasing saved</t>
        </is>
      </c>
      <c r="B7" s="5">
        <f>0</f>
        <v/>
      </c>
      <c r="C7" s="5">
        <f>Inputs!$B$16*Inputs!$B$21*Inputs!$B$20/60*Inputs!$B$12*Inputs!$B$27</f>
        <v/>
      </c>
      <c r="D7" s="5">
        <f>Inputs!$B$16*Inputs!$B$21*Inputs!$B$20/60*Inputs!$B$12*Inputs!$B$28</f>
        <v/>
      </c>
      <c r="E7" s="5">
        <f>Inputs!$B$16*Inputs!$B$21*Inputs!$B$20/60*Inputs!$B$12*Inputs!$B$29</f>
        <v/>
      </c>
      <c r="F7" s="5">
        <f>Inputs!$B$16*Inputs!$B$21*Inputs!$B$20/60*Inputs!$B$12*Inputs!$B$30</f>
        <v/>
      </c>
      <c r="G7" s="5">
        <f>Inputs!$B$16*Inputs!$B$21*Inputs!$B$20/60*Inputs!$B$12*Inputs!$B$31</f>
        <v/>
      </c>
      <c r="H7" s="22">
        <f>SUM(B7:G7)</f>
        <v/>
      </c>
    </row>
    <row r="8">
      <c r="A8" s="13" t="inlineStr">
        <is>
          <t>One-off costs</t>
        </is>
      </c>
      <c r="B8" s="5">
        <f>-Inputs!$B$23</f>
        <v/>
      </c>
      <c r="C8" s="5">
        <f>-Inputs!$B$24</f>
        <v/>
      </c>
      <c r="D8" s="5">
        <f>0</f>
        <v/>
      </c>
      <c r="E8" s="5">
        <f>0</f>
        <v/>
      </c>
      <c r="F8" s="5">
        <f>0</f>
        <v/>
      </c>
      <c r="G8" s="5">
        <f>0</f>
        <v/>
      </c>
      <c r="H8" s="22">
        <f>SUM(B8:G8)</f>
        <v/>
      </c>
    </row>
    <row r="9">
      <c r="A9" s="13" t="inlineStr">
        <is>
          <t>Run costs</t>
        </is>
      </c>
      <c r="B9" s="5">
        <f>0</f>
        <v/>
      </c>
      <c r="C9" s="5">
        <f>-Inputs!$B$25</f>
        <v/>
      </c>
      <c r="D9" s="5">
        <f>-Inputs!$B$25</f>
        <v/>
      </c>
      <c r="E9" s="5">
        <f>-Inputs!$B$25</f>
        <v/>
      </c>
      <c r="F9" s="5">
        <f>-Inputs!$B$25</f>
        <v/>
      </c>
      <c r="G9" s="5">
        <f>-Inputs!$B$25</f>
        <v/>
      </c>
      <c r="H9" s="22">
        <f>SUM(B9:G9)</f>
        <v/>
      </c>
    </row>
    <row r="10">
      <c r="A10" s="9" t="inlineStr">
        <is>
          <t>Net cash flow</t>
        </is>
      </c>
      <c r="B10" s="22">
        <f>SUM(B5:B9)</f>
        <v/>
      </c>
      <c r="C10" s="22">
        <f>SUM(C5:C9)</f>
        <v/>
      </c>
      <c r="D10" s="22">
        <f>SUM(D5:D9)</f>
        <v/>
      </c>
      <c r="E10" s="22">
        <f>SUM(E5:E9)</f>
        <v/>
      </c>
      <c r="F10" s="22">
        <f>SUM(F5:F9)</f>
        <v/>
      </c>
      <c r="G10" s="22">
        <f>SUM(G5:G9)</f>
        <v/>
      </c>
      <c r="H10" s="22">
        <f>SUM(H5:H9)</f>
        <v/>
      </c>
    </row>
    <row r="11">
      <c r="A11" s="13" t="inlineStr">
        <is>
          <t>Cumulative cash flow</t>
        </is>
      </c>
      <c r="B11" s="5">
        <f>B10</f>
        <v/>
      </c>
      <c r="C11" s="5">
        <f>B11+C10</f>
        <v/>
      </c>
      <c r="D11" s="5">
        <f>C11+D10</f>
        <v/>
      </c>
      <c r="E11" s="5">
        <f>D11+E10</f>
        <v/>
      </c>
      <c r="F11" s="5">
        <f>E11+F10</f>
        <v/>
      </c>
      <c r="G11" s="5">
        <f>F11+G10</f>
        <v/>
      </c>
    </row>
    <row r="14">
      <c r="A14" s="9" t="inlineStr">
        <is>
          <t>B. Quick wins</t>
        </is>
      </c>
      <c r="B14" s="11" t="inlineStr">
        <is>
          <t>Year 0</t>
        </is>
      </c>
      <c r="C14" s="11" t="inlineStr">
        <is>
          <t>Year 1</t>
        </is>
      </c>
      <c r="D14" s="11" t="inlineStr">
        <is>
          <t>Year 2</t>
        </is>
      </c>
      <c r="E14" s="11" t="inlineStr">
        <is>
          <t>Year 3</t>
        </is>
      </c>
      <c r="F14" s="11" t="inlineStr">
        <is>
          <t>Year 4</t>
        </is>
      </c>
      <c r="G14" s="11" t="inlineStr">
        <is>
          <t>Year 5</t>
        </is>
      </c>
      <c r="H14" s="11" t="inlineStr">
        <is>
          <t>Total</t>
        </is>
      </c>
    </row>
    <row r="15">
      <c r="A15" s="13" t="inlineStr">
        <is>
          <t>Revenue benefit: extra loans funded</t>
        </is>
      </c>
      <c r="B15" s="5">
        <f>0</f>
        <v/>
      </c>
      <c r="C15" s="5">
        <f>Inputs!$C$14*Inputs!$B$10*Inputs!$C$27*Inputs!$B$7*Inputs!$B$8*Inputs!$B$9</f>
        <v/>
      </c>
      <c r="D15" s="5">
        <f>Inputs!$C$14*Inputs!$B$10*Inputs!$C$28*Inputs!$B$7*Inputs!$B$8*Inputs!$B$9</f>
        <v/>
      </c>
      <c r="E15" s="5">
        <f>Inputs!$C$14*Inputs!$B$10*Inputs!$C$29*Inputs!$B$7*Inputs!$B$8*Inputs!$B$9</f>
        <v/>
      </c>
      <c r="F15" s="5">
        <f>Inputs!$C$14*Inputs!$B$10*Inputs!$C$30*Inputs!$B$7*Inputs!$B$8*Inputs!$B$9</f>
        <v/>
      </c>
      <c r="G15" s="5">
        <f>Inputs!$C$14*Inputs!$B$10*Inputs!$C$31*Inputs!$B$7*Inputs!$B$8*Inputs!$B$9</f>
        <v/>
      </c>
      <c r="H15" s="22">
        <f>SUM(B15:G15)</f>
        <v/>
      </c>
    </row>
    <row r="16">
      <c r="A16" s="13" t="inlineStr">
        <is>
          <t>Efficiency: underwriter re-keying saved</t>
        </is>
      </c>
      <c r="B16" s="5">
        <f>0</f>
        <v/>
      </c>
      <c r="C16" s="5">
        <f>Inputs!$C$15*Inputs!$C$18/60*Inputs!$C$19*Inputs!$B$11*Inputs!$C$27</f>
        <v/>
      </c>
      <c r="D16" s="5">
        <f>Inputs!$C$15*Inputs!$C$18/60*Inputs!$C$19*Inputs!$B$11*Inputs!$C$28</f>
        <v/>
      </c>
      <c r="E16" s="5">
        <f>Inputs!$C$15*Inputs!$C$18/60*Inputs!$C$19*Inputs!$B$11*Inputs!$C$29</f>
        <v/>
      </c>
      <c r="F16" s="5">
        <f>Inputs!$C$15*Inputs!$C$18/60*Inputs!$C$19*Inputs!$B$11*Inputs!$C$30</f>
        <v/>
      </c>
      <c r="G16" s="5">
        <f>Inputs!$C$15*Inputs!$C$18/60*Inputs!$C$19*Inputs!$B$11*Inputs!$C$31</f>
        <v/>
      </c>
      <c r="H16" s="22">
        <f>SUM(B16:G16)</f>
        <v/>
      </c>
    </row>
    <row r="17">
      <c r="A17" s="13" t="inlineStr">
        <is>
          <t>Efficiency: RM document chasing saved</t>
        </is>
      </c>
      <c r="B17" s="5">
        <f>0</f>
        <v/>
      </c>
      <c r="C17" s="5">
        <f>Inputs!$C$16*Inputs!$C$21*Inputs!$C$20/60*Inputs!$B$12*Inputs!$C$27</f>
        <v/>
      </c>
      <c r="D17" s="5">
        <f>Inputs!$C$16*Inputs!$C$21*Inputs!$C$20/60*Inputs!$B$12*Inputs!$C$28</f>
        <v/>
      </c>
      <c r="E17" s="5">
        <f>Inputs!$C$16*Inputs!$C$21*Inputs!$C$20/60*Inputs!$B$12*Inputs!$C$29</f>
        <v/>
      </c>
      <c r="F17" s="5">
        <f>Inputs!$C$16*Inputs!$C$21*Inputs!$C$20/60*Inputs!$B$12*Inputs!$C$30</f>
        <v/>
      </c>
      <c r="G17" s="5">
        <f>Inputs!$C$16*Inputs!$C$21*Inputs!$C$20/60*Inputs!$B$12*Inputs!$C$31</f>
        <v/>
      </c>
      <c r="H17" s="22">
        <f>SUM(B17:G17)</f>
        <v/>
      </c>
    </row>
    <row r="18">
      <c r="A18" s="13" t="inlineStr">
        <is>
          <t>One-off costs</t>
        </is>
      </c>
      <c r="B18" s="5">
        <f>-Inputs!$C$23</f>
        <v/>
      </c>
      <c r="C18" s="5">
        <f>-Inputs!$C$24</f>
        <v/>
      </c>
      <c r="D18" s="5">
        <f>0</f>
        <v/>
      </c>
      <c r="E18" s="5">
        <f>0</f>
        <v/>
      </c>
      <c r="F18" s="5">
        <f>0</f>
        <v/>
      </c>
      <c r="G18" s="5">
        <f>0</f>
        <v/>
      </c>
      <c r="H18" s="22">
        <f>SUM(B18:G18)</f>
        <v/>
      </c>
    </row>
    <row r="19">
      <c r="A19" s="13" t="inlineStr">
        <is>
          <t>Run costs</t>
        </is>
      </c>
      <c r="B19" s="5">
        <f>0</f>
        <v/>
      </c>
      <c r="C19" s="5">
        <f>-Inputs!$C$25</f>
        <v/>
      </c>
      <c r="D19" s="5">
        <f>-Inputs!$C$25</f>
        <v/>
      </c>
      <c r="E19" s="5">
        <f>-Inputs!$C$25</f>
        <v/>
      </c>
      <c r="F19" s="5">
        <f>-Inputs!$C$25</f>
        <v/>
      </c>
      <c r="G19" s="5">
        <f>-Inputs!$C$25</f>
        <v/>
      </c>
      <c r="H19" s="22">
        <f>SUM(B19:G19)</f>
        <v/>
      </c>
    </row>
    <row r="20">
      <c r="A20" s="9" t="inlineStr">
        <is>
          <t>Net cash flow</t>
        </is>
      </c>
      <c r="B20" s="22">
        <f>SUM(B15:B19)</f>
        <v/>
      </c>
      <c r="C20" s="22">
        <f>SUM(C15:C19)</f>
        <v/>
      </c>
      <c r="D20" s="22">
        <f>SUM(D15:D19)</f>
        <v/>
      </c>
      <c r="E20" s="22">
        <f>SUM(E15:E19)</f>
        <v/>
      </c>
      <c r="F20" s="22">
        <f>SUM(F15:F19)</f>
        <v/>
      </c>
      <c r="G20" s="22">
        <f>SUM(G15:G19)</f>
        <v/>
      </c>
      <c r="H20" s="22">
        <f>SUM(H15:H19)</f>
        <v/>
      </c>
    </row>
    <row r="21">
      <c r="A21" s="13" t="inlineStr">
        <is>
          <t>Cumulative cash flow</t>
        </is>
      </c>
      <c r="B21" s="5">
        <f>B20</f>
        <v/>
      </c>
      <c r="C21" s="5">
        <f>B21+C20</f>
        <v/>
      </c>
      <c r="D21" s="5">
        <f>C21+D20</f>
        <v/>
      </c>
      <c r="E21" s="5">
        <f>D21+E20</f>
        <v/>
      </c>
      <c r="F21" s="5">
        <f>E21+F20</f>
        <v/>
      </c>
      <c r="G21" s="5">
        <f>F21+G20</f>
        <v/>
      </c>
    </row>
    <row r="24">
      <c r="A24" s="9" t="inlineStr">
        <is>
          <t>C. Digital + quick wins</t>
        </is>
      </c>
      <c r="B24" s="11" t="inlineStr">
        <is>
          <t>Year 0</t>
        </is>
      </c>
      <c r="C24" s="11" t="inlineStr">
        <is>
          <t>Year 1</t>
        </is>
      </c>
      <c r="D24" s="11" t="inlineStr">
        <is>
          <t>Year 2</t>
        </is>
      </c>
      <c r="E24" s="11" t="inlineStr">
        <is>
          <t>Year 3</t>
        </is>
      </c>
      <c r="F24" s="11" t="inlineStr">
        <is>
          <t>Year 4</t>
        </is>
      </c>
      <c r="G24" s="11" t="inlineStr">
        <is>
          <t>Year 5</t>
        </is>
      </c>
      <c r="H24" s="11" t="inlineStr">
        <is>
          <t>Total</t>
        </is>
      </c>
    </row>
    <row r="25">
      <c r="A25" s="13" t="inlineStr">
        <is>
          <t>Revenue benefit: extra loans funded</t>
        </is>
      </c>
      <c r="B25" s="5">
        <f>0</f>
        <v/>
      </c>
      <c r="C25" s="5">
        <f>Inputs!$D$14*Inputs!$B$10*Inputs!$D$27*Inputs!$B$7*Inputs!$B$8*Inputs!$B$9</f>
        <v/>
      </c>
      <c r="D25" s="5">
        <f>Inputs!$D$14*Inputs!$B$10*Inputs!$D$28*Inputs!$B$7*Inputs!$B$8*Inputs!$B$9</f>
        <v/>
      </c>
      <c r="E25" s="5">
        <f>Inputs!$D$14*Inputs!$B$10*Inputs!$D$29*Inputs!$B$7*Inputs!$B$8*Inputs!$B$9</f>
        <v/>
      </c>
      <c r="F25" s="5">
        <f>Inputs!$D$14*Inputs!$B$10*Inputs!$D$30*Inputs!$B$7*Inputs!$B$8*Inputs!$B$9</f>
        <v/>
      </c>
      <c r="G25" s="5">
        <f>Inputs!$D$14*Inputs!$B$10*Inputs!$D$31*Inputs!$B$7*Inputs!$B$8*Inputs!$B$9</f>
        <v/>
      </c>
      <c r="H25" s="22">
        <f>SUM(B25:G25)</f>
        <v/>
      </c>
    </row>
    <row r="26">
      <c r="A26" s="13" t="inlineStr">
        <is>
          <t>Efficiency: underwriter re-keying saved</t>
        </is>
      </c>
      <c r="B26" s="5">
        <f>0</f>
        <v/>
      </c>
      <c r="C26" s="5">
        <f>Inputs!$D$15*Inputs!$D$18/60*Inputs!$D$19*Inputs!$B$11*Inputs!$D$27</f>
        <v/>
      </c>
      <c r="D26" s="5">
        <f>Inputs!$D$15*Inputs!$D$18/60*Inputs!$D$19*Inputs!$B$11*Inputs!$D$28</f>
        <v/>
      </c>
      <c r="E26" s="5">
        <f>Inputs!$D$15*Inputs!$D$18/60*Inputs!$D$19*Inputs!$B$11*Inputs!$D$29</f>
        <v/>
      </c>
      <c r="F26" s="5">
        <f>Inputs!$D$15*Inputs!$D$18/60*Inputs!$D$19*Inputs!$B$11*Inputs!$D$30</f>
        <v/>
      </c>
      <c r="G26" s="5">
        <f>Inputs!$D$15*Inputs!$D$18/60*Inputs!$D$19*Inputs!$B$11*Inputs!$D$31</f>
        <v/>
      </c>
      <c r="H26" s="22">
        <f>SUM(B26:G26)</f>
        <v/>
      </c>
    </row>
    <row r="27">
      <c r="A27" s="13" t="inlineStr">
        <is>
          <t>Efficiency: RM document chasing saved</t>
        </is>
      </c>
      <c r="B27" s="5">
        <f>0</f>
        <v/>
      </c>
      <c r="C27" s="5">
        <f>Inputs!$D$16*Inputs!$D$21*Inputs!$D$20/60*Inputs!$B$12*Inputs!$D$27</f>
        <v/>
      </c>
      <c r="D27" s="5">
        <f>Inputs!$D$16*Inputs!$D$21*Inputs!$D$20/60*Inputs!$B$12*Inputs!$D$28</f>
        <v/>
      </c>
      <c r="E27" s="5">
        <f>Inputs!$D$16*Inputs!$D$21*Inputs!$D$20/60*Inputs!$B$12*Inputs!$D$29</f>
        <v/>
      </c>
      <c r="F27" s="5">
        <f>Inputs!$D$16*Inputs!$D$21*Inputs!$D$20/60*Inputs!$B$12*Inputs!$D$30</f>
        <v/>
      </c>
      <c r="G27" s="5">
        <f>Inputs!$D$16*Inputs!$D$21*Inputs!$D$20/60*Inputs!$B$12*Inputs!$D$31</f>
        <v/>
      </c>
      <c r="H27" s="22">
        <f>SUM(B27:G27)</f>
        <v/>
      </c>
    </row>
    <row r="28">
      <c r="A28" s="13" t="inlineStr">
        <is>
          <t>One-off costs</t>
        </is>
      </c>
      <c r="B28" s="5">
        <f>-Inputs!$D$23</f>
        <v/>
      </c>
      <c r="C28" s="5">
        <f>-Inputs!$D$24</f>
        <v/>
      </c>
      <c r="D28" s="5">
        <f>0</f>
        <v/>
      </c>
      <c r="E28" s="5">
        <f>0</f>
        <v/>
      </c>
      <c r="F28" s="5">
        <f>0</f>
        <v/>
      </c>
      <c r="G28" s="5">
        <f>0</f>
        <v/>
      </c>
      <c r="H28" s="22">
        <f>SUM(B28:G28)</f>
        <v/>
      </c>
    </row>
    <row r="29">
      <c r="A29" s="13" t="inlineStr">
        <is>
          <t>Run costs</t>
        </is>
      </c>
      <c r="B29" s="5">
        <f>0</f>
        <v/>
      </c>
      <c r="C29" s="5">
        <f>-Inputs!$D$25</f>
        <v/>
      </c>
      <c r="D29" s="5">
        <f>-Inputs!$D$25</f>
        <v/>
      </c>
      <c r="E29" s="5">
        <f>-Inputs!$D$25</f>
        <v/>
      </c>
      <c r="F29" s="5">
        <f>-Inputs!$D$25</f>
        <v/>
      </c>
      <c r="G29" s="5">
        <f>-Inputs!$D$25</f>
        <v/>
      </c>
      <c r="H29" s="22">
        <f>SUM(B29:G29)</f>
        <v/>
      </c>
    </row>
    <row r="30">
      <c r="A30" s="9" t="inlineStr">
        <is>
          <t>Net cash flow</t>
        </is>
      </c>
      <c r="B30" s="22">
        <f>SUM(B25:B29)</f>
        <v/>
      </c>
      <c r="C30" s="22">
        <f>SUM(C25:C29)</f>
        <v/>
      </c>
      <c r="D30" s="22">
        <f>SUM(D25:D29)</f>
        <v/>
      </c>
      <c r="E30" s="22">
        <f>SUM(E25:E29)</f>
        <v/>
      </c>
      <c r="F30" s="22">
        <f>SUM(F25:F29)</f>
        <v/>
      </c>
      <c r="G30" s="22">
        <f>SUM(G25:G29)</f>
        <v/>
      </c>
      <c r="H30" s="22">
        <f>SUM(H25:H29)</f>
        <v/>
      </c>
    </row>
    <row r="31">
      <c r="A31" s="13" t="inlineStr">
        <is>
          <t>Cumulative cash flow</t>
        </is>
      </c>
      <c r="B31" s="5">
        <f>B30</f>
        <v/>
      </c>
      <c r="C31" s="5">
        <f>B31+C30</f>
        <v/>
      </c>
      <c r="D31" s="5">
        <f>C31+D30</f>
        <v/>
      </c>
      <c r="E31" s="5">
        <f>D31+E30</f>
        <v/>
      </c>
      <c r="F31" s="5">
        <f>E31+F30</f>
        <v/>
      </c>
      <c r="G31" s="5">
        <f>F31+G30</f>
        <v/>
      </c>
    </row>
  </sheetData>
  <conditionalFormatting sqref="B11:G11">
    <cfRule type="cellIs" priority="1" operator="lessThan" dxfId="0">
      <formula>0</formula>
    </cfRule>
  </conditionalFormatting>
  <conditionalFormatting sqref="B21:G21">
    <cfRule type="cellIs" priority="2" operator="lessThan" dxfId="0">
      <formula>0</formula>
    </cfRule>
  </conditionalFormatting>
  <conditionalFormatting sqref="B31:G31">
    <cfRule type="cellIs" priority="3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2026-10-27T17:01:05Z</dcterms:created>
  <dcterms:modified xmlns:dcterms="http://purl.org/dc/terms/" xmlns:xsi="http://www.w3.org/2001/XMLSchema-instance" xsi:type="dcterms:W3CDTF">2026-10-27T17:01:05Z</dcterms:modified>
</cp:coreProperties>
</file>